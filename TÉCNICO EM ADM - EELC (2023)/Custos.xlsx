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9e1f5991e00f07/LICENCIATURA/TÉCNICO EM ADM - E. E. LIBERATO DE CASTRO (2023)/"/>
    </mc:Choice>
  </mc:AlternateContent>
  <xr:revisionPtr revIDLastSave="837" documentId="8_{A0ED01F2-3EDD-4B3B-BE2C-4CCACD68D5C3}" xr6:coauthVersionLast="47" xr6:coauthVersionMax="47" xr10:uidLastSave="{57DABFAD-5DFF-4232-940A-91A713D5BB21}"/>
  <bookViews>
    <workbookView xWindow="-120" yWindow="-120" windowWidth="24240" windowHeight="13020" xr2:uid="{D5BF8B17-4EE6-4F51-B7F7-CF53A258A559}"/>
  </bookViews>
  <sheets>
    <sheet name="Custos" sheetId="1" r:id="rId1"/>
    <sheet name="COMIDA 01" sheetId="4" r:id="rId2"/>
  </sheets>
  <definedNames>
    <definedName name="_xlnm._FilterDatabase" localSheetId="1" hidden="1">'COMIDA 01'!$B$6:$BS$6</definedName>
    <definedName name="_xlnm._FilterDatabase" localSheetId="0" hidden="1">Custos!$B$3:$G$26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22" i="4" l="1"/>
  <c r="AS22" i="4"/>
  <c r="BL7" i="4"/>
  <c r="BL8" i="4"/>
  <c r="BL9" i="4"/>
  <c r="BL10" i="4"/>
  <c r="BL11" i="4"/>
  <c r="BD7" i="4"/>
  <c r="BD8" i="4"/>
  <c r="BD9" i="4"/>
  <c r="BD10" i="4"/>
  <c r="BD11" i="4"/>
  <c r="BF14" i="4"/>
  <c r="AQ14" i="4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F27" i="1" s="1"/>
  <c r="BL12" i="4" l="1"/>
  <c r="BF25" i="4" s="1"/>
  <c r="BM25" i="4" s="1"/>
  <c r="BD12" i="4"/>
  <c r="AS25" i="4" s="1"/>
  <c r="AZ25" i="4" s="1"/>
  <c r="X25" i="4" l="1"/>
  <c r="AS15" i="4"/>
  <c r="BF15" i="4"/>
  <c r="AF25" i="4"/>
</calcChain>
</file>

<file path=xl/sharedStrings.xml><?xml version="1.0" encoding="utf-8"?>
<sst xmlns="http://schemas.openxmlformats.org/spreadsheetml/2006/main" count="35" uniqueCount="22">
  <si>
    <t>Descrição</t>
  </si>
  <si>
    <t>Planejado</t>
  </si>
  <si>
    <t>Real</t>
  </si>
  <si>
    <t>Valor Unitário</t>
  </si>
  <si>
    <t>Quantidade</t>
  </si>
  <si>
    <t>Total</t>
  </si>
  <si>
    <t>COMIDA 01</t>
  </si>
  <si>
    <t>Ingredientes</t>
  </si>
  <si>
    <t>Unidade</t>
  </si>
  <si>
    <t>Planejada</t>
  </si>
  <si>
    <t>Preço de Venda</t>
  </si>
  <si>
    <t>Quantas unidades foram vendidas?</t>
  </si>
  <si>
    <t>LUCRATIVIDADE</t>
  </si>
  <si>
    <t>SAÍDA</t>
  </si>
  <si>
    <t>ENTRADA</t>
  </si>
  <si>
    <t>Quant. Planejada</t>
  </si>
  <si>
    <t>Quant. Realizada</t>
  </si>
  <si>
    <t>Esta receita é para produzir qual quantidade?</t>
  </si>
  <si>
    <t>Faturamento Planejado por Unidade</t>
  </si>
  <si>
    <t>Faturamento Real por Unidade</t>
  </si>
  <si>
    <t>Mesa</t>
  </si>
  <si>
    <t>Bingo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</si>
</sst>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 &quot;\ 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b/>
      <sz val="11"/>
      <color rgb="FFFF0000"/>
      <name val="Aptos Narrow"/>
      <family val="2"/>
      <scheme val="minor"/>
    </font>
    <font>
      <b/>
      <sz val="11"/>
      <color theme="1"/>
      <name val="Arial"/>
      <family val="2"/>
    </font>
    <font>
      <b/>
      <sz val="22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sz val="11"/>
      <color theme="9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6"/>
      <color theme="0" tint="-4.9989318521683403E-2"/>
      <name val="Arial"/>
      <family val="2"/>
    </font>
    <font>
      <b/>
      <sz val="16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44" fontId="0" fillId="2" borderId="0" xfId="1" applyFont="1" applyFill="1" applyAlignment="1">
      <alignment horizontal="center"/>
    </xf>
    <xf numFmtId="44" fontId="3" fillId="2" borderId="0" xfId="1" applyFont="1" applyFill="1" applyAlignment="1">
      <alignment horizontal="center"/>
    </xf>
    <xf numFmtId="44" fontId="0" fillId="4" borderId="1" xfId="1" applyFont="1" applyFill="1" applyBorder="1" applyAlignment="1">
      <alignment horizontal="center" vertical="center"/>
    </xf>
    <xf numFmtId="44" fontId="3" fillId="4" borderId="1" xfId="1" applyFont="1" applyFill="1" applyBorder="1" applyAlignment="1">
      <alignment horizontal="center" vertical="center"/>
    </xf>
    <xf numFmtId="44" fontId="3" fillId="4" borderId="2" xfId="1" applyFont="1" applyFill="1" applyBorder="1" applyAlignment="1">
      <alignment horizontal="center" vertical="center"/>
    </xf>
    <xf numFmtId="0" fontId="0" fillId="2" borderId="3" xfId="0" applyFill="1" applyBorder="1"/>
    <xf numFmtId="44" fontId="0" fillId="2" borderId="4" xfId="1" applyFont="1" applyFill="1" applyBorder="1" applyAlignment="1">
      <alignment horizontal="center"/>
    </xf>
    <xf numFmtId="44" fontId="3" fillId="2" borderId="4" xfId="1" applyFont="1" applyFill="1" applyBorder="1" applyAlignment="1">
      <alignment horizontal="center"/>
    </xf>
    <xf numFmtId="44" fontId="3" fillId="2" borderId="5" xfId="1" applyFont="1" applyFill="1" applyBorder="1" applyAlignment="1">
      <alignment horizontal="center"/>
    </xf>
    <xf numFmtId="0" fontId="0" fillId="2" borderId="6" xfId="0" applyFill="1" applyBorder="1"/>
    <xf numFmtId="44" fontId="0" fillId="2" borderId="7" xfId="1" applyFont="1" applyFill="1" applyBorder="1" applyAlignment="1">
      <alignment horizontal="center"/>
    </xf>
    <xf numFmtId="44" fontId="3" fillId="2" borderId="7" xfId="1" applyFont="1" applyFill="1" applyBorder="1" applyAlignment="1">
      <alignment horizontal="center"/>
    </xf>
    <xf numFmtId="44" fontId="3" fillId="2" borderId="8" xfId="1" applyFont="1" applyFill="1" applyBorder="1" applyAlignment="1">
      <alignment horizontal="center"/>
    </xf>
    <xf numFmtId="0" fontId="0" fillId="2" borderId="10" xfId="0" applyFill="1" applyBorder="1"/>
    <xf numFmtId="44" fontId="0" fillId="2" borderId="11" xfId="1" applyFont="1" applyFill="1" applyBorder="1" applyAlignment="1">
      <alignment horizontal="center"/>
    </xf>
    <xf numFmtId="44" fontId="3" fillId="2" borderId="11" xfId="1" applyFont="1" applyFill="1" applyBorder="1" applyAlignment="1">
      <alignment horizontal="center"/>
    </xf>
    <xf numFmtId="44" fontId="3" fillId="2" borderId="12" xfId="1" applyFont="1" applyFill="1" applyBorder="1" applyAlignment="1">
      <alignment horizontal="center"/>
    </xf>
    <xf numFmtId="0" fontId="0" fillId="2" borderId="9" xfId="0" applyFill="1" applyBorder="1"/>
    <xf numFmtId="44" fontId="0" fillId="2" borderId="9" xfId="1" applyFont="1" applyFill="1" applyBorder="1" applyAlignment="1">
      <alignment horizontal="center"/>
    </xf>
    <xf numFmtId="44" fontId="3" fillId="2" borderId="9" xfId="1" applyFont="1" applyFill="1" applyBorder="1" applyAlignment="1">
      <alignment horizont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3" xfId="0" applyFill="1" applyBorder="1" applyAlignment="1">
      <alignment horizontal="left" vertical="center"/>
    </xf>
    <xf numFmtId="0" fontId="0" fillId="4" borderId="14" xfId="0" applyFill="1" applyBorder="1" applyAlignment="1">
      <alignment horizontal="left" vertical="center"/>
    </xf>
    <xf numFmtId="44" fontId="4" fillId="3" borderId="17" xfId="1" applyFont="1" applyFill="1" applyBorder="1" applyAlignment="1">
      <alignment horizontal="center" vertical="center"/>
    </xf>
    <xf numFmtId="44" fontId="4" fillId="3" borderId="18" xfId="1" applyFont="1" applyFill="1" applyBorder="1" applyAlignment="1">
      <alignment horizontal="center" vertical="center"/>
    </xf>
    <xf numFmtId="44" fontId="2" fillId="3" borderId="17" xfId="1" applyFont="1" applyFill="1" applyBorder="1" applyAlignment="1">
      <alignment horizontal="center" vertical="center"/>
    </xf>
    <xf numFmtId="44" fontId="2" fillId="3" borderId="19" xfId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9" xfId="1" applyNumberFormat="1" applyFont="1" applyFill="1" applyBorder="1" applyAlignment="1" applyProtection="1">
      <alignment horizontal="center"/>
      <protection hidden="1"/>
    </xf>
    <xf numFmtId="0" fontId="0" fillId="2" borderId="0" xfId="0" applyNumberFormat="1" applyFill="1" applyProtection="1">
      <protection hidden="1"/>
    </xf>
    <xf numFmtId="0" fontId="0" fillId="2" borderId="0" xfId="1" applyNumberFormat="1" applyFont="1" applyFill="1" applyAlignment="1" applyProtection="1">
      <alignment horizontal="center"/>
      <protection hidden="1"/>
    </xf>
    <xf numFmtId="0" fontId="3" fillId="2" borderId="0" xfId="1" applyNumberFormat="1" applyFont="1" applyFill="1" applyAlignment="1" applyProtection="1">
      <alignment horizontal="center"/>
      <protection hidden="1"/>
    </xf>
    <xf numFmtId="0" fontId="0" fillId="4" borderId="29" xfId="0" applyNumberFormat="1" applyFill="1" applyBorder="1" applyAlignment="1" applyProtection="1">
      <alignment horizontal="left" vertical="center"/>
      <protection hidden="1"/>
    </xf>
    <xf numFmtId="0" fontId="0" fillId="4" borderId="30" xfId="0" applyNumberFormat="1" applyFill="1" applyBorder="1" applyAlignment="1" applyProtection="1">
      <alignment horizontal="left" vertical="center"/>
      <protection hidden="1"/>
    </xf>
    <xf numFmtId="0" fontId="0" fillId="4" borderId="27" xfId="0" applyNumberFormat="1" applyFill="1" applyBorder="1" applyAlignment="1" applyProtection="1">
      <alignment horizontal="left" vertical="center"/>
      <protection hidden="1"/>
    </xf>
    <xf numFmtId="0" fontId="0" fillId="4" borderId="32" xfId="0" applyNumberFormat="1" applyFill="1" applyBorder="1" applyAlignment="1" applyProtection="1">
      <alignment horizontal="center" vertical="center"/>
      <protection hidden="1"/>
    </xf>
    <xf numFmtId="0" fontId="0" fillId="4" borderId="30" xfId="0" applyNumberFormat="1" applyFill="1" applyBorder="1" applyAlignment="1" applyProtection="1">
      <alignment horizontal="center" vertical="center"/>
      <protection hidden="1"/>
    </xf>
    <xf numFmtId="0" fontId="0" fillId="4" borderId="27" xfId="0" applyNumberFormat="1" applyFill="1" applyBorder="1" applyAlignment="1" applyProtection="1">
      <alignment horizontal="center" vertical="center"/>
      <protection hidden="1"/>
    </xf>
    <xf numFmtId="0" fontId="4" fillId="3" borderId="17" xfId="1" applyNumberFormat="1" applyFont="1" applyFill="1" applyBorder="1" applyAlignment="1" applyProtection="1">
      <alignment horizontal="center" vertical="center"/>
      <protection hidden="1"/>
    </xf>
    <xf numFmtId="0" fontId="4" fillId="3" borderId="34" xfId="1" applyNumberFormat="1" applyFont="1" applyFill="1" applyBorder="1" applyAlignment="1" applyProtection="1">
      <alignment horizontal="center" vertical="center"/>
      <protection hidden="1"/>
    </xf>
    <xf numFmtId="0" fontId="4" fillId="3" borderId="18" xfId="1" applyNumberFormat="1" applyFont="1" applyFill="1" applyBorder="1" applyAlignment="1" applyProtection="1">
      <alignment horizontal="center" vertical="center"/>
      <protection hidden="1"/>
    </xf>
    <xf numFmtId="0" fontId="2" fillId="3" borderId="17" xfId="1" applyNumberFormat="1" applyFont="1" applyFill="1" applyBorder="1" applyAlignment="1" applyProtection="1">
      <alignment horizontal="center" vertical="center"/>
      <protection hidden="1"/>
    </xf>
    <xf numFmtId="0" fontId="2" fillId="3" borderId="34" xfId="1" applyNumberFormat="1" applyFont="1" applyFill="1" applyBorder="1" applyAlignment="1" applyProtection="1">
      <alignment horizontal="center" vertical="center"/>
      <protection hidden="1"/>
    </xf>
    <xf numFmtId="0" fontId="2" fillId="3" borderId="19" xfId="1" applyNumberFormat="1" applyFont="1" applyFill="1" applyBorder="1" applyAlignment="1" applyProtection="1">
      <alignment horizontal="center" vertical="center"/>
      <protection hidden="1"/>
    </xf>
    <xf numFmtId="0" fontId="0" fillId="2" borderId="0" xfId="0" applyNumberFormat="1" applyFill="1" applyAlignment="1" applyProtection="1">
      <alignment vertical="center"/>
      <protection hidden="1"/>
    </xf>
    <xf numFmtId="0" fontId="0" fillId="4" borderId="31" xfId="0" applyNumberFormat="1" applyFill="1" applyBorder="1" applyAlignment="1" applyProtection="1">
      <alignment horizontal="left" vertical="center"/>
      <protection hidden="1"/>
    </xf>
    <xf numFmtId="0" fontId="0" fillId="4" borderId="23" xfId="0" applyNumberFormat="1" applyFill="1" applyBorder="1" applyAlignment="1" applyProtection="1">
      <alignment horizontal="left" vertical="center"/>
      <protection hidden="1"/>
    </xf>
    <xf numFmtId="0" fontId="0" fillId="4" borderId="28" xfId="0" applyNumberFormat="1" applyFill="1" applyBorder="1" applyAlignment="1" applyProtection="1">
      <alignment horizontal="left" vertical="center"/>
      <protection hidden="1"/>
    </xf>
    <xf numFmtId="0" fontId="0" fillId="4" borderId="33" xfId="0" applyNumberFormat="1" applyFill="1" applyBorder="1" applyAlignment="1" applyProtection="1">
      <alignment horizontal="center" vertical="center"/>
      <protection hidden="1"/>
    </xf>
    <xf numFmtId="0" fontId="0" fillId="4" borderId="23" xfId="0" applyNumberFormat="1" applyFill="1" applyBorder="1" applyAlignment="1" applyProtection="1">
      <alignment horizontal="center" vertical="center"/>
      <protection hidden="1"/>
    </xf>
    <xf numFmtId="0" fontId="0" fillId="4" borderId="28" xfId="0" applyNumberFormat="1" applyFill="1" applyBorder="1" applyAlignment="1" applyProtection="1">
      <alignment horizontal="center" vertical="center"/>
      <protection hidden="1"/>
    </xf>
    <xf numFmtId="0" fontId="0" fillId="4" borderId="35" xfId="1" applyNumberFormat="1" applyFont="1" applyFill="1" applyBorder="1" applyAlignment="1" applyProtection="1">
      <alignment horizontal="center" vertical="center"/>
      <protection hidden="1"/>
    </xf>
    <xf numFmtId="0" fontId="0" fillId="4" borderId="36" xfId="1" applyNumberFormat="1" applyFont="1" applyFill="1" applyBorder="1" applyAlignment="1" applyProtection="1">
      <alignment horizontal="center" vertical="center"/>
      <protection hidden="1"/>
    </xf>
    <xf numFmtId="0" fontId="0" fillId="4" borderId="37" xfId="1" applyNumberFormat="1" applyFont="1" applyFill="1" applyBorder="1" applyAlignment="1" applyProtection="1">
      <alignment horizontal="center" vertical="center"/>
      <protection hidden="1"/>
    </xf>
    <xf numFmtId="0" fontId="3" fillId="4" borderId="35" xfId="1" applyNumberFormat="1" applyFont="1" applyFill="1" applyBorder="1" applyAlignment="1" applyProtection="1">
      <alignment horizontal="center" vertical="center"/>
      <protection hidden="1"/>
    </xf>
    <xf numFmtId="0" fontId="3" fillId="4" borderId="36" xfId="1" applyNumberFormat="1" applyFont="1" applyFill="1" applyBorder="1" applyAlignment="1" applyProtection="1">
      <alignment horizontal="center" vertical="center"/>
      <protection hidden="1"/>
    </xf>
    <xf numFmtId="0" fontId="3" fillId="4" borderId="37" xfId="1" applyNumberFormat="1" applyFont="1" applyFill="1" applyBorder="1" applyAlignment="1" applyProtection="1">
      <alignment horizontal="center" vertical="center"/>
      <protection hidden="1"/>
    </xf>
    <xf numFmtId="0" fontId="3" fillId="4" borderId="38" xfId="1" applyNumberFormat="1" applyFont="1" applyFill="1" applyBorder="1" applyAlignment="1" applyProtection="1">
      <alignment horizontal="center" vertical="center"/>
      <protection hidden="1"/>
    </xf>
    <xf numFmtId="0" fontId="0" fillId="2" borderId="9" xfId="0" applyNumberFormat="1" applyFill="1" applyBorder="1" applyProtection="1">
      <protection hidden="1"/>
    </xf>
    <xf numFmtId="0" fontId="0" fillId="2" borderId="9" xfId="1" applyNumberFormat="1" applyFont="1" applyFill="1" applyBorder="1" applyAlignment="1" applyProtection="1">
      <alignment horizontal="center"/>
      <protection hidden="1"/>
    </xf>
    <xf numFmtId="0" fontId="0" fillId="2" borderId="23" xfId="0" applyNumberFormat="1" applyFill="1" applyBorder="1" applyAlignment="1" applyProtection="1">
      <alignment horizontal="center"/>
      <protection hidden="1"/>
    </xf>
    <xf numFmtId="0" fontId="0" fillId="2" borderId="0" xfId="0" applyNumberFormat="1" applyFill="1" applyAlignment="1" applyProtection="1">
      <alignment horizontal="center"/>
      <protection hidden="1"/>
    </xf>
    <xf numFmtId="0" fontId="0" fillId="2" borderId="0" xfId="0" applyNumberFormat="1" applyFill="1" applyBorder="1" applyProtection="1">
      <protection hidden="1"/>
    </xf>
    <xf numFmtId="0" fontId="6" fillId="2" borderId="0" xfId="0" applyNumberFormat="1" applyFont="1" applyFill="1" applyBorder="1" applyAlignment="1" applyProtection="1">
      <alignment horizontal="center"/>
      <protection hidden="1"/>
    </xf>
    <xf numFmtId="0" fontId="3" fillId="2" borderId="0" xfId="1" applyNumberFormat="1" applyFont="1" applyFill="1" applyBorder="1" applyAlignment="1" applyProtection="1">
      <alignment horizontal="center"/>
      <protection hidden="1"/>
    </xf>
    <xf numFmtId="44" fontId="0" fillId="2" borderId="0" xfId="1" applyFont="1" applyFill="1" applyProtection="1">
      <protection hidden="1"/>
    </xf>
    <xf numFmtId="44" fontId="6" fillId="5" borderId="24" xfId="1" applyFont="1" applyFill="1" applyBorder="1" applyAlignment="1" applyProtection="1">
      <alignment horizontal="center"/>
      <protection hidden="1"/>
    </xf>
    <xf numFmtId="44" fontId="6" fillId="5" borderId="25" xfId="1" applyFont="1" applyFill="1" applyBorder="1" applyAlignment="1" applyProtection="1">
      <alignment horizontal="center"/>
      <protection hidden="1"/>
    </xf>
    <xf numFmtId="44" fontId="6" fillId="5" borderId="26" xfId="1" applyFont="1" applyFill="1" applyBorder="1" applyAlignment="1" applyProtection="1">
      <alignment horizontal="center"/>
      <protection hidden="1"/>
    </xf>
    <xf numFmtId="44" fontId="3" fillId="2" borderId="0" xfId="1" applyFont="1" applyFill="1" applyAlignment="1" applyProtection="1">
      <alignment horizontal="center"/>
      <protection hidden="1"/>
    </xf>
    <xf numFmtId="44" fontId="0" fillId="2" borderId="0" xfId="1" applyFont="1" applyFill="1" applyBorder="1" applyProtection="1">
      <protection hidden="1"/>
    </xf>
    <xf numFmtId="44" fontId="6" fillId="2" borderId="0" xfId="1" applyFont="1" applyFill="1" applyBorder="1" applyAlignment="1" applyProtection="1">
      <alignment horizontal="center"/>
      <protection hidden="1"/>
    </xf>
    <xf numFmtId="44" fontId="3" fillId="2" borderId="0" xfId="1" applyFont="1" applyFill="1" applyBorder="1" applyAlignment="1" applyProtection="1">
      <alignment horizontal="center"/>
      <protection hidden="1"/>
    </xf>
    <xf numFmtId="44" fontId="0" fillId="2" borderId="0" xfId="1" applyFont="1" applyFill="1" applyAlignment="1" applyProtection="1">
      <alignment horizontal="center"/>
      <protection hidden="1"/>
    </xf>
    <xf numFmtId="0" fontId="6" fillId="5" borderId="24" xfId="0" applyNumberFormat="1" applyFont="1" applyFill="1" applyBorder="1" applyAlignment="1" applyProtection="1">
      <alignment horizontal="center"/>
      <protection locked="0"/>
    </xf>
    <xf numFmtId="0" fontId="6" fillId="5" borderId="25" xfId="0" applyNumberFormat="1" applyFont="1" applyFill="1" applyBorder="1" applyAlignment="1" applyProtection="1">
      <alignment horizontal="center"/>
      <protection locked="0"/>
    </xf>
    <xf numFmtId="0" fontId="6" fillId="5" borderId="26" xfId="0" applyNumberFormat="1" applyFont="1" applyFill="1" applyBorder="1" applyAlignment="1" applyProtection="1">
      <alignment horizontal="center"/>
      <protection locked="0"/>
    </xf>
    <xf numFmtId="0" fontId="0" fillId="2" borderId="3" xfId="0" applyNumberFormat="1" applyFill="1" applyBorder="1" applyProtection="1">
      <protection locked="0"/>
    </xf>
    <xf numFmtId="0" fontId="0" fillId="2" borderId="4" xfId="0" applyNumberFormat="1" applyFill="1" applyBorder="1" applyProtection="1">
      <protection locked="0"/>
    </xf>
    <xf numFmtId="0" fontId="0" fillId="2" borderId="4" xfId="0" applyNumberFormat="1" applyFill="1" applyBorder="1" applyAlignment="1" applyProtection="1">
      <alignment horizontal="center"/>
      <protection locked="0"/>
    </xf>
    <xf numFmtId="0" fontId="0" fillId="2" borderId="6" xfId="0" applyNumberFormat="1" applyFill="1" applyBorder="1" applyProtection="1">
      <protection locked="0"/>
    </xf>
    <xf numFmtId="0" fontId="0" fillId="2" borderId="7" xfId="0" applyNumberFormat="1" applyFill="1" applyBorder="1" applyProtection="1">
      <protection locked="0"/>
    </xf>
    <xf numFmtId="0" fontId="0" fillId="2" borderId="7" xfId="0" applyNumberFormat="1" applyFill="1" applyBorder="1" applyAlignment="1" applyProtection="1">
      <alignment horizontal="center"/>
      <protection locked="0"/>
    </xf>
    <xf numFmtId="0" fontId="0" fillId="2" borderId="43" xfId="0" applyNumberFormat="1" applyFill="1" applyBorder="1" applyProtection="1">
      <protection locked="0"/>
    </xf>
    <xf numFmtId="0" fontId="0" fillId="2" borderId="39" xfId="0" applyNumberFormat="1" applyFill="1" applyBorder="1" applyProtection="1">
      <protection locked="0"/>
    </xf>
    <xf numFmtId="0" fontId="0" fillId="2" borderId="39" xfId="0" applyNumberFormat="1" applyFill="1" applyBorder="1" applyAlignment="1" applyProtection="1">
      <alignment horizontal="center"/>
      <protection locked="0"/>
    </xf>
    <xf numFmtId="0" fontId="5" fillId="2" borderId="29" xfId="0" applyNumberFormat="1" applyFont="1" applyFill="1" applyBorder="1" applyAlignment="1" applyProtection="1">
      <alignment horizontal="center" vertical="center"/>
      <protection locked="0"/>
    </xf>
    <xf numFmtId="0" fontId="5" fillId="2" borderId="30" xfId="0" applyNumberFormat="1" applyFont="1" applyFill="1" applyBorder="1" applyAlignment="1" applyProtection="1">
      <alignment horizontal="center" vertical="center"/>
      <protection locked="0"/>
    </xf>
    <xf numFmtId="0" fontId="5" fillId="2" borderId="41" xfId="0" applyNumberFormat="1" applyFont="1" applyFill="1" applyBorder="1" applyAlignment="1" applyProtection="1">
      <alignment horizontal="center" vertical="center"/>
      <protection locked="0"/>
    </xf>
    <xf numFmtId="0" fontId="5" fillId="2" borderId="31" xfId="0" applyNumberFormat="1" applyFont="1" applyFill="1" applyBorder="1" applyAlignment="1" applyProtection="1">
      <alignment horizontal="center" vertical="center"/>
      <protection locked="0"/>
    </xf>
    <xf numFmtId="0" fontId="5" fillId="2" borderId="23" xfId="0" applyNumberFormat="1" applyFont="1" applyFill="1" applyBorder="1" applyAlignment="1" applyProtection="1">
      <alignment horizontal="center" vertical="center"/>
      <protection locked="0"/>
    </xf>
    <xf numFmtId="0" fontId="5" fillId="2" borderId="42" xfId="0" applyNumberFormat="1" applyFont="1" applyFill="1" applyBorder="1" applyAlignment="1" applyProtection="1">
      <alignment horizontal="center" vertical="center"/>
      <protection locked="0"/>
    </xf>
    <xf numFmtId="164" fontId="7" fillId="2" borderId="24" xfId="1" applyNumberFormat="1" applyFont="1" applyFill="1" applyBorder="1" applyAlignment="1" applyProtection="1">
      <alignment horizontal="center" vertical="center"/>
      <protection locked="0"/>
    </xf>
    <xf numFmtId="164" fontId="7" fillId="2" borderId="25" xfId="1" applyNumberFormat="1" applyFont="1" applyFill="1" applyBorder="1" applyAlignment="1" applyProtection="1">
      <alignment horizontal="center" vertical="center"/>
      <protection locked="0"/>
    </xf>
    <xf numFmtId="164" fontId="7" fillId="2" borderId="26" xfId="1" applyNumberFormat="1" applyFont="1" applyFill="1" applyBorder="1" applyAlignment="1" applyProtection="1">
      <alignment horizontal="center" vertical="center"/>
      <protection locked="0"/>
    </xf>
    <xf numFmtId="0" fontId="8" fillId="2" borderId="0" xfId="0" applyNumberFormat="1" applyFont="1" applyFill="1" applyAlignment="1" applyProtection="1">
      <alignment horizontal="center" vertical="center"/>
      <protection hidden="1"/>
    </xf>
    <xf numFmtId="0" fontId="9" fillId="8" borderId="24" xfId="0" applyNumberFormat="1" applyFont="1" applyFill="1" applyBorder="1" applyAlignment="1" applyProtection="1">
      <alignment horizontal="center"/>
      <protection hidden="1"/>
    </xf>
    <xf numFmtId="0" fontId="9" fillId="8" borderId="25" xfId="0" applyNumberFormat="1" applyFont="1" applyFill="1" applyBorder="1" applyAlignment="1" applyProtection="1">
      <alignment horizontal="center"/>
      <protection hidden="1"/>
    </xf>
    <xf numFmtId="0" fontId="9" fillId="8" borderId="26" xfId="0" applyNumberFormat="1" applyFont="1" applyFill="1" applyBorder="1" applyAlignment="1" applyProtection="1">
      <alignment horizontal="center"/>
      <protection hidden="1"/>
    </xf>
    <xf numFmtId="44" fontId="3" fillId="2" borderId="9" xfId="1" applyFont="1" applyFill="1" applyBorder="1" applyAlignment="1" applyProtection="1">
      <alignment horizontal="center"/>
      <protection hidden="1"/>
    </xf>
    <xf numFmtId="0" fontId="12" fillId="6" borderId="0" xfId="0" applyNumberFormat="1" applyFont="1" applyFill="1" applyAlignment="1" applyProtection="1">
      <alignment horizontal="center" vertical="center"/>
      <protection hidden="1"/>
    </xf>
    <xf numFmtId="0" fontId="13" fillId="7" borderId="0" xfId="0" applyNumberFormat="1" applyFont="1" applyFill="1" applyAlignment="1" applyProtection="1">
      <alignment horizontal="center" vertical="center"/>
      <protection hidden="1"/>
    </xf>
    <xf numFmtId="0" fontId="0" fillId="9" borderId="0" xfId="0" applyNumberFormat="1" applyFill="1" applyProtection="1">
      <protection hidden="1"/>
    </xf>
    <xf numFmtId="0" fontId="10" fillId="9" borderId="0" xfId="0" applyNumberFormat="1" applyFont="1" applyFill="1" applyProtection="1">
      <protection hidden="1"/>
    </xf>
    <xf numFmtId="0" fontId="10" fillId="9" borderId="23" xfId="0" applyNumberFormat="1" applyFont="1" applyFill="1" applyBorder="1" applyAlignment="1" applyProtection="1">
      <alignment horizontal="center"/>
      <protection hidden="1"/>
    </xf>
    <xf numFmtId="44" fontId="10" fillId="9" borderId="0" xfId="1" applyFont="1" applyFill="1" applyAlignment="1" applyProtection="1">
      <alignment horizontal="center"/>
      <protection hidden="1"/>
    </xf>
    <xf numFmtId="0" fontId="3" fillId="9" borderId="0" xfId="1" applyNumberFormat="1" applyFont="1" applyFill="1" applyAlignment="1" applyProtection="1">
      <alignment horizontal="center"/>
      <protection hidden="1"/>
    </xf>
    <xf numFmtId="44" fontId="10" fillId="9" borderId="0" xfId="1" applyFont="1" applyFill="1" applyProtection="1">
      <protection hidden="1"/>
    </xf>
    <xf numFmtId="44" fontId="11" fillId="9" borderId="0" xfId="1" applyFont="1" applyFill="1" applyAlignment="1" applyProtection="1">
      <alignment horizontal="center"/>
      <protection hidden="1"/>
    </xf>
    <xf numFmtId="0" fontId="11" fillId="9" borderId="0" xfId="0" applyNumberFormat="1" applyFont="1" applyFill="1" applyAlignment="1" applyProtection="1">
      <alignment horizontal="center" vertical="center"/>
      <protection hidden="1"/>
    </xf>
    <xf numFmtId="44" fontId="11" fillId="2" borderId="24" xfId="0" applyNumberFormat="1" applyFont="1" applyFill="1" applyBorder="1" applyAlignment="1" applyProtection="1">
      <alignment horizontal="center"/>
    </xf>
    <xf numFmtId="0" fontId="11" fillId="2" borderId="25" xfId="0" applyNumberFormat="1" applyFont="1" applyFill="1" applyBorder="1" applyAlignment="1" applyProtection="1">
      <alignment horizontal="center"/>
    </xf>
    <xf numFmtId="0" fontId="11" fillId="2" borderId="26" xfId="0" applyNumberFormat="1" applyFont="1" applyFill="1" applyBorder="1" applyAlignment="1" applyProtection="1">
      <alignment horizontal="center"/>
    </xf>
    <xf numFmtId="44" fontId="11" fillId="2" borderId="24" xfId="1" applyFont="1" applyFill="1" applyBorder="1" applyAlignment="1" applyProtection="1">
      <alignment horizontal="center"/>
      <protection hidden="1"/>
    </xf>
    <xf numFmtId="44" fontId="11" fillId="2" borderId="25" xfId="1" applyFont="1" applyFill="1" applyBorder="1" applyAlignment="1" applyProtection="1">
      <alignment horizontal="center"/>
      <protection hidden="1"/>
    </xf>
    <xf numFmtId="0" fontId="0" fillId="2" borderId="0" xfId="0" applyNumberFormat="1" applyFill="1" applyBorder="1" applyAlignment="1" applyProtection="1">
      <protection hidden="1"/>
    </xf>
    <xf numFmtId="0" fontId="0" fillId="2" borderId="0" xfId="0" applyFill="1" applyAlignment="1">
      <alignment horizontal="right"/>
    </xf>
    <xf numFmtId="0" fontId="3" fillId="2" borderId="0" xfId="0" applyFont="1" applyFill="1" applyBorder="1" applyAlignment="1"/>
    <xf numFmtId="44" fontId="0" fillId="2" borderId="4" xfId="1" applyFont="1" applyFill="1" applyBorder="1" applyAlignment="1" applyProtection="1">
      <alignment horizontal="center"/>
      <protection locked="0"/>
    </xf>
    <xf numFmtId="44" fontId="3" fillId="2" borderId="4" xfId="1" applyFont="1" applyFill="1" applyBorder="1" applyAlignment="1" applyProtection="1">
      <alignment horizontal="center"/>
      <protection hidden="1"/>
    </xf>
    <xf numFmtId="44" fontId="3" fillId="2" borderId="5" xfId="1" applyFont="1" applyFill="1" applyBorder="1" applyAlignment="1" applyProtection="1">
      <alignment horizontal="center"/>
      <protection hidden="1"/>
    </xf>
    <xf numFmtId="44" fontId="0" fillId="2" borderId="7" xfId="1" applyFont="1" applyFill="1" applyBorder="1" applyAlignment="1" applyProtection="1">
      <alignment horizontal="center"/>
      <protection locked="0"/>
    </xf>
    <xf numFmtId="44" fontId="3" fillId="2" borderId="7" xfId="1" applyFont="1" applyFill="1" applyBorder="1" applyAlignment="1" applyProtection="1">
      <alignment horizontal="center"/>
      <protection hidden="1"/>
    </xf>
    <xf numFmtId="44" fontId="3" fillId="2" borderId="8" xfId="1" applyFont="1" applyFill="1" applyBorder="1" applyAlignment="1" applyProtection="1">
      <alignment horizontal="center"/>
      <protection hidden="1"/>
    </xf>
    <xf numFmtId="44" fontId="0" fillId="2" borderId="39" xfId="1" applyFont="1" applyFill="1" applyBorder="1" applyAlignment="1" applyProtection="1">
      <alignment horizontal="center"/>
      <protection locked="0"/>
    </xf>
    <xf numFmtId="44" fontId="3" fillId="2" borderId="39" xfId="1" applyFont="1" applyFill="1" applyBorder="1" applyAlignment="1" applyProtection="1">
      <alignment horizontal="center"/>
      <protection hidden="1"/>
    </xf>
    <xf numFmtId="44" fontId="3" fillId="2" borderId="40" xfId="1" applyFont="1" applyFill="1" applyBorder="1" applyAlignment="1" applyProtection="1">
      <alignment horizontal="center"/>
      <protection hidden="1"/>
    </xf>
    <xf numFmtId="0" fontId="3" fillId="5" borderId="20" xfId="0" applyFont="1" applyFill="1" applyBorder="1" applyAlignment="1" applyProtection="1">
      <alignment horizontal="center"/>
      <protection locked="0"/>
    </xf>
    <xf numFmtId="0" fontId="3" fillId="5" borderId="21" xfId="0" applyFont="1" applyFill="1" applyBorder="1" applyAlignment="1" applyProtection="1">
      <alignment horizontal="center"/>
      <protection locked="0"/>
    </xf>
    <xf numFmtId="0" fontId="3" fillId="5" borderId="22" xfId="0" applyFont="1" applyFill="1" applyBorder="1" applyAlignment="1" applyProtection="1">
      <alignment horizontal="center"/>
      <protection locked="0"/>
    </xf>
    <xf numFmtId="0" fontId="0" fillId="9" borderId="0" xfId="1" applyNumberFormat="1" applyFont="1" applyFill="1" applyAlignment="1" applyProtection="1">
      <alignment horizontal="center"/>
      <protection hidden="1"/>
    </xf>
    <xf numFmtId="9" fontId="11" fillId="2" borderId="25" xfId="2" applyFont="1" applyFill="1" applyBorder="1" applyAlignment="1" applyProtection="1">
      <alignment horizontal="center"/>
      <protection hidden="1"/>
    </xf>
    <xf numFmtId="9" fontId="11" fillId="2" borderId="26" xfId="2" applyFont="1" applyFill="1" applyBorder="1" applyAlignment="1" applyProtection="1">
      <alignment horizontal="center"/>
      <protection hidden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4CDE0-E4CE-4C30-A049-544B3129EC79}">
  <dimension ref="B1:G27"/>
  <sheetViews>
    <sheetView tabSelected="1" workbookViewId="0">
      <selection activeCell="B2" sqref="B2:B3"/>
    </sheetView>
  </sheetViews>
  <sheetFormatPr defaultColWidth="0" defaultRowHeight="15" x14ac:dyDescent="0.25"/>
  <cols>
    <col min="1" max="1" width="9.140625" style="1" customWidth="1"/>
    <col min="2" max="2" width="60.7109375" style="1" customWidth="1"/>
    <col min="3" max="3" width="16.7109375" style="1" customWidth="1"/>
    <col min="4" max="5" width="16.7109375" style="3" customWidth="1"/>
    <col min="6" max="7" width="16.7109375" style="4" customWidth="1"/>
    <col min="8" max="8" width="9.140625" style="1" customWidth="1"/>
    <col min="9" max="16384" width="9.140625" style="1" hidden="1"/>
  </cols>
  <sheetData>
    <row r="1" spans="2:7" ht="15.75" thickBot="1" x14ac:dyDescent="0.3"/>
    <row r="2" spans="2:7" s="2" customFormat="1" x14ac:dyDescent="0.25">
      <c r="B2" s="25" t="s">
        <v>0</v>
      </c>
      <c r="C2" s="23" t="s">
        <v>4</v>
      </c>
      <c r="D2" s="27" t="s">
        <v>3</v>
      </c>
      <c r="E2" s="28"/>
      <c r="F2" s="29" t="s">
        <v>5</v>
      </c>
      <c r="G2" s="30"/>
    </row>
    <row r="3" spans="2:7" s="2" customFormat="1" ht="15.75" thickBot="1" x14ac:dyDescent="0.3">
      <c r="B3" s="26"/>
      <c r="C3" s="24"/>
      <c r="D3" s="5" t="s">
        <v>1</v>
      </c>
      <c r="E3" s="5" t="s">
        <v>2</v>
      </c>
      <c r="F3" s="6" t="s">
        <v>1</v>
      </c>
      <c r="G3" s="7" t="s">
        <v>2</v>
      </c>
    </row>
    <row r="4" spans="2:7" x14ac:dyDescent="0.25">
      <c r="B4" s="8" t="s">
        <v>6</v>
      </c>
      <c r="C4" s="31"/>
      <c r="D4" s="9"/>
      <c r="E4" s="9"/>
      <c r="F4" s="10">
        <f>IF($B4="","",D4*$C4)</f>
        <v>0</v>
      </c>
      <c r="G4" s="11">
        <f>IF($B4="","",E4*$C4)</f>
        <v>0</v>
      </c>
    </row>
    <row r="5" spans="2:7" x14ac:dyDescent="0.25">
      <c r="B5" s="12" t="s">
        <v>20</v>
      </c>
      <c r="C5" s="32"/>
      <c r="D5" s="13"/>
      <c r="E5" s="13"/>
      <c r="F5" s="14">
        <f t="shared" ref="F5:F26" si="0">IF($B5="","",D5*$C5)</f>
        <v>0</v>
      </c>
      <c r="G5" s="15">
        <f t="shared" ref="G5:G26" si="1">IF($B5="","",E5*$C5)</f>
        <v>0</v>
      </c>
    </row>
    <row r="6" spans="2:7" x14ac:dyDescent="0.25">
      <c r="B6" s="12" t="s">
        <v>21</v>
      </c>
      <c r="C6" s="32"/>
      <c r="D6" s="13"/>
      <c r="E6" s="13"/>
      <c r="F6" s="14">
        <f t="shared" si="0"/>
        <v>0</v>
      </c>
      <c r="G6" s="15">
        <f t="shared" si="1"/>
        <v>0</v>
      </c>
    </row>
    <row r="7" spans="2:7" x14ac:dyDescent="0.25">
      <c r="B7" s="12"/>
      <c r="C7" s="32"/>
      <c r="D7" s="13"/>
      <c r="E7" s="13"/>
      <c r="F7" s="14" t="str">
        <f t="shared" si="0"/>
        <v/>
      </c>
      <c r="G7" s="15" t="str">
        <f t="shared" si="1"/>
        <v/>
      </c>
    </row>
    <row r="8" spans="2:7" x14ac:dyDescent="0.25">
      <c r="B8" s="12"/>
      <c r="C8" s="32"/>
      <c r="D8" s="13"/>
      <c r="E8" s="13"/>
      <c r="F8" s="14" t="str">
        <f t="shared" si="0"/>
        <v/>
      </c>
      <c r="G8" s="15" t="str">
        <f t="shared" si="1"/>
        <v/>
      </c>
    </row>
    <row r="9" spans="2:7" x14ac:dyDescent="0.25">
      <c r="B9" s="12"/>
      <c r="C9" s="32"/>
      <c r="D9" s="13"/>
      <c r="E9" s="13"/>
      <c r="F9" s="14" t="str">
        <f t="shared" si="0"/>
        <v/>
      </c>
      <c r="G9" s="15" t="str">
        <f t="shared" si="1"/>
        <v/>
      </c>
    </row>
    <row r="10" spans="2:7" x14ac:dyDescent="0.25">
      <c r="B10" s="12"/>
      <c r="C10" s="32"/>
      <c r="D10" s="13"/>
      <c r="E10" s="13"/>
      <c r="F10" s="14" t="str">
        <f t="shared" si="0"/>
        <v/>
      </c>
      <c r="G10" s="15" t="str">
        <f t="shared" si="1"/>
        <v/>
      </c>
    </row>
    <row r="11" spans="2:7" x14ac:dyDescent="0.25">
      <c r="B11" s="12"/>
      <c r="C11" s="32"/>
      <c r="D11" s="13"/>
      <c r="E11" s="13"/>
      <c r="F11" s="14" t="str">
        <f t="shared" si="0"/>
        <v/>
      </c>
      <c r="G11" s="15" t="str">
        <f t="shared" si="1"/>
        <v/>
      </c>
    </row>
    <row r="12" spans="2:7" x14ac:dyDescent="0.25">
      <c r="B12" s="12"/>
      <c r="C12" s="32"/>
      <c r="D12" s="13"/>
      <c r="E12" s="13"/>
      <c r="F12" s="14" t="str">
        <f t="shared" si="0"/>
        <v/>
      </c>
      <c r="G12" s="15" t="str">
        <f t="shared" si="1"/>
        <v/>
      </c>
    </row>
    <row r="13" spans="2:7" x14ac:dyDescent="0.25">
      <c r="B13" s="12"/>
      <c r="C13" s="32"/>
      <c r="D13" s="13"/>
      <c r="E13" s="13"/>
      <c r="F13" s="14" t="str">
        <f t="shared" si="0"/>
        <v/>
      </c>
      <c r="G13" s="15" t="str">
        <f t="shared" si="1"/>
        <v/>
      </c>
    </row>
    <row r="14" spans="2:7" x14ac:dyDescent="0.25">
      <c r="B14" s="12"/>
      <c r="C14" s="32"/>
      <c r="D14" s="13"/>
      <c r="E14" s="13"/>
      <c r="F14" s="14" t="str">
        <f t="shared" si="0"/>
        <v/>
      </c>
      <c r="G14" s="15" t="str">
        <f t="shared" si="1"/>
        <v/>
      </c>
    </row>
    <row r="15" spans="2:7" x14ac:dyDescent="0.25">
      <c r="B15" s="12"/>
      <c r="C15" s="32"/>
      <c r="D15" s="13"/>
      <c r="E15" s="13"/>
      <c r="F15" s="14" t="str">
        <f t="shared" si="0"/>
        <v/>
      </c>
      <c r="G15" s="15" t="str">
        <f t="shared" si="1"/>
        <v/>
      </c>
    </row>
    <row r="16" spans="2:7" x14ac:dyDescent="0.25">
      <c r="B16" s="12"/>
      <c r="C16" s="32"/>
      <c r="D16" s="13"/>
      <c r="E16" s="13"/>
      <c r="F16" s="14" t="str">
        <f t="shared" si="0"/>
        <v/>
      </c>
      <c r="G16" s="15" t="str">
        <f t="shared" si="1"/>
        <v/>
      </c>
    </row>
    <row r="17" spans="2:7" x14ac:dyDescent="0.25">
      <c r="B17" s="12"/>
      <c r="C17" s="32"/>
      <c r="D17" s="13"/>
      <c r="E17" s="13"/>
      <c r="F17" s="14" t="str">
        <f t="shared" si="0"/>
        <v/>
      </c>
      <c r="G17" s="15" t="str">
        <f t="shared" si="1"/>
        <v/>
      </c>
    </row>
    <row r="18" spans="2:7" x14ac:dyDescent="0.25">
      <c r="B18" s="12"/>
      <c r="C18" s="32"/>
      <c r="D18" s="13"/>
      <c r="E18" s="13"/>
      <c r="F18" s="14" t="str">
        <f t="shared" si="0"/>
        <v/>
      </c>
      <c r="G18" s="15" t="str">
        <f t="shared" si="1"/>
        <v/>
      </c>
    </row>
    <row r="19" spans="2:7" x14ac:dyDescent="0.25">
      <c r="B19" s="12"/>
      <c r="C19" s="32"/>
      <c r="D19" s="13"/>
      <c r="E19" s="13"/>
      <c r="F19" s="14" t="str">
        <f t="shared" si="0"/>
        <v/>
      </c>
      <c r="G19" s="15" t="str">
        <f t="shared" si="1"/>
        <v/>
      </c>
    </row>
    <row r="20" spans="2:7" x14ac:dyDescent="0.25">
      <c r="B20" s="12"/>
      <c r="C20" s="32"/>
      <c r="D20" s="13"/>
      <c r="E20" s="13"/>
      <c r="F20" s="14" t="str">
        <f t="shared" si="0"/>
        <v/>
      </c>
      <c r="G20" s="15" t="str">
        <f t="shared" si="1"/>
        <v/>
      </c>
    </row>
    <row r="21" spans="2:7" x14ac:dyDescent="0.25">
      <c r="B21" s="12"/>
      <c r="C21" s="32"/>
      <c r="D21" s="13"/>
      <c r="E21" s="13"/>
      <c r="F21" s="14" t="str">
        <f t="shared" si="0"/>
        <v/>
      </c>
      <c r="G21" s="15" t="str">
        <f t="shared" si="1"/>
        <v/>
      </c>
    </row>
    <row r="22" spans="2:7" x14ac:dyDescent="0.25">
      <c r="B22" s="12"/>
      <c r="C22" s="32"/>
      <c r="D22" s="13"/>
      <c r="E22" s="13"/>
      <c r="F22" s="14" t="str">
        <f t="shared" si="0"/>
        <v/>
      </c>
      <c r="G22" s="15" t="str">
        <f t="shared" si="1"/>
        <v/>
      </c>
    </row>
    <row r="23" spans="2:7" x14ac:dyDescent="0.25">
      <c r="B23" s="12"/>
      <c r="C23" s="32"/>
      <c r="D23" s="13"/>
      <c r="E23" s="13"/>
      <c r="F23" s="14" t="str">
        <f t="shared" si="0"/>
        <v/>
      </c>
      <c r="G23" s="15" t="str">
        <f t="shared" si="1"/>
        <v/>
      </c>
    </row>
    <row r="24" spans="2:7" x14ac:dyDescent="0.25">
      <c r="B24" s="12"/>
      <c r="C24" s="32"/>
      <c r="D24" s="13"/>
      <c r="E24" s="13"/>
      <c r="F24" s="14" t="str">
        <f t="shared" si="0"/>
        <v/>
      </c>
      <c r="G24" s="15" t="str">
        <f t="shared" si="1"/>
        <v/>
      </c>
    </row>
    <row r="25" spans="2:7" x14ac:dyDescent="0.25">
      <c r="B25" s="12"/>
      <c r="C25" s="32"/>
      <c r="D25" s="13"/>
      <c r="E25" s="13"/>
      <c r="F25" s="14" t="str">
        <f t="shared" si="0"/>
        <v/>
      </c>
      <c r="G25" s="15" t="str">
        <f t="shared" si="1"/>
        <v/>
      </c>
    </row>
    <row r="26" spans="2:7" ht="15.75" thickBot="1" x14ac:dyDescent="0.3">
      <c r="B26" s="16"/>
      <c r="C26" s="33"/>
      <c r="D26" s="17"/>
      <c r="E26" s="17"/>
      <c r="F26" s="18" t="str">
        <f t="shared" si="0"/>
        <v/>
      </c>
      <c r="G26" s="19" t="str">
        <f t="shared" si="1"/>
        <v/>
      </c>
    </row>
    <row r="27" spans="2:7" ht="15.75" thickTop="1" x14ac:dyDescent="0.25">
      <c r="B27" s="20"/>
      <c r="C27" s="20"/>
      <c r="D27" s="21"/>
      <c r="E27" s="21"/>
      <c r="F27" s="22">
        <f>SUBTOTAL(9,F4:F26)</f>
        <v>0</v>
      </c>
      <c r="G27" s="22"/>
    </row>
  </sheetData>
  <autoFilter ref="B3:G26" xr:uid="{3B84CDE0-E4CE-4C30-A049-544B3129EC79}"/>
  <mergeCells count="4">
    <mergeCell ref="B2:B3"/>
    <mergeCell ref="C2:C3"/>
    <mergeCell ref="D2:E2"/>
    <mergeCell ref="F2:G2"/>
  </mergeCells>
  <dataValidations count="1">
    <dataValidation type="decimal" errorStyle="warning" operator="greaterThan" allowBlank="1" showInputMessage="1" showErrorMessage="1" errorTitle="Erro 114!" error="Os dados informados neste campo não corresponde a um Número. Isso quer dizer que mesmo que você clique em &quot;OK&quot; as fórmulas não funcionrão corretamente. Verifique" sqref="C4:G26" xr:uid="{56D78AE5-DF4E-44B4-B402-059B723790D9}">
      <formula1>-5000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FC673-6F93-4364-804B-C90C4FED0716}">
  <dimension ref="A1:CB26"/>
  <sheetViews>
    <sheetView workbookViewId="0">
      <selection sqref="A1:XFD1"/>
    </sheetView>
  </sheetViews>
  <sheetFormatPr defaultColWidth="0" defaultRowHeight="15" zeroHeight="1" x14ac:dyDescent="0.25"/>
  <cols>
    <col min="1" max="39" width="2.7109375" style="35" customWidth="1"/>
    <col min="40" max="55" width="2.7109375" style="36" customWidth="1"/>
    <col min="56" max="71" width="2.7109375" style="37" customWidth="1"/>
    <col min="72" max="72" width="2.7109375" style="35" customWidth="1"/>
    <col min="73" max="80" width="0" style="35" hidden="1"/>
    <col min="81" max="16384" width="2.7109375" style="35" hidden="1"/>
  </cols>
  <sheetData>
    <row r="1" spans="1:71" s="106" customFormat="1" ht="20.25" x14ac:dyDescent="0.25">
      <c r="A1" s="106" t="s">
        <v>13</v>
      </c>
    </row>
    <row r="2" spans="1:71" ht="15.75" thickBot="1" x14ac:dyDescent="0.3"/>
    <row r="3" spans="1:71" ht="15" customHeight="1" x14ac:dyDescent="0.25">
      <c r="B3" s="92" t="s">
        <v>6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4"/>
    </row>
    <row r="4" spans="1:71" ht="15" customHeight="1" thickBot="1" x14ac:dyDescent="0.3">
      <c r="B4" s="95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  <c r="BM4" s="96"/>
      <c r="BN4" s="96"/>
      <c r="BO4" s="96"/>
      <c r="BP4" s="96"/>
      <c r="BQ4" s="96"/>
      <c r="BR4" s="96"/>
      <c r="BS4" s="97"/>
    </row>
    <row r="5" spans="1:71" s="50" customFormat="1" x14ac:dyDescent="0.25">
      <c r="B5" s="38" t="s">
        <v>7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40"/>
      <c r="AF5" s="41" t="s">
        <v>4</v>
      </c>
      <c r="AG5" s="42"/>
      <c r="AH5" s="42"/>
      <c r="AI5" s="42"/>
      <c r="AJ5" s="42"/>
      <c r="AK5" s="42"/>
      <c r="AL5" s="42"/>
      <c r="AM5" s="43"/>
      <c r="AN5" s="44" t="s">
        <v>3</v>
      </c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6"/>
      <c r="BD5" s="47" t="s">
        <v>5</v>
      </c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9"/>
    </row>
    <row r="6" spans="1:71" s="50" customFormat="1" ht="15.75" thickBot="1" x14ac:dyDescent="0.3">
      <c r="B6" s="51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3"/>
      <c r="AF6" s="54"/>
      <c r="AG6" s="55"/>
      <c r="AH6" s="55"/>
      <c r="AI6" s="55"/>
      <c r="AJ6" s="55"/>
      <c r="AK6" s="55"/>
      <c r="AL6" s="55"/>
      <c r="AM6" s="56"/>
      <c r="AN6" s="57" t="s">
        <v>1</v>
      </c>
      <c r="AO6" s="58"/>
      <c r="AP6" s="58"/>
      <c r="AQ6" s="58"/>
      <c r="AR6" s="58"/>
      <c r="AS6" s="58"/>
      <c r="AT6" s="58"/>
      <c r="AU6" s="59"/>
      <c r="AV6" s="57" t="s">
        <v>2</v>
      </c>
      <c r="AW6" s="58"/>
      <c r="AX6" s="58"/>
      <c r="AY6" s="58"/>
      <c r="AZ6" s="58"/>
      <c r="BA6" s="58"/>
      <c r="BB6" s="58"/>
      <c r="BC6" s="59"/>
      <c r="BD6" s="60" t="s">
        <v>1</v>
      </c>
      <c r="BE6" s="61"/>
      <c r="BF6" s="61"/>
      <c r="BG6" s="61"/>
      <c r="BH6" s="61"/>
      <c r="BI6" s="61"/>
      <c r="BJ6" s="61"/>
      <c r="BK6" s="62"/>
      <c r="BL6" s="60" t="s">
        <v>2</v>
      </c>
      <c r="BM6" s="61"/>
      <c r="BN6" s="61"/>
      <c r="BO6" s="61"/>
      <c r="BP6" s="61"/>
      <c r="BQ6" s="61"/>
      <c r="BR6" s="61"/>
      <c r="BS6" s="63"/>
    </row>
    <row r="7" spans="1:71" x14ac:dyDescent="0.25">
      <c r="B7" s="83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5"/>
      <c r="AG7" s="85"/>
      <c r="AH7" s="85"/>
      <c r="AI7" s="85"/>
      <c r="AJ7" s="85"/>
      <c r="AK7" s="85"/>
      <c r="AL7" s="85"/>
      <c r="AM7" s="85"/>
      <c r="AN7" s="124"/>
      <c r="AO7" s="124"/>
      <c r="AP7" s="124"/>
      <c r="AQ7" s="124"/>
      <c r="AR7" s="124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D7" s="125" t="str">
        <f t="shared" ref="BD7:BD11" si="0">IF(B7="","",AF7*AN7)</f>
        <v/>
      </c>
      <c r="BE7" s="125"/>
      <c r="BF7" s="125"/>
      <c r="BG7" s="125"/>
      <c r="BH7" s="125"/>
      <c r="BI7" s="125"/>
      <c r="BJ7" s="125"/>
      <c r="BK7" s="125"/>
      <c r="BL7" s="125" t="str">
        <f t="shared" ref="BL7:BL11" si="1">IF(B7="","",AV7*AF7)</f>
        <v/>
      </c>
      <c r="BM7" s="125"/>
      <c r="BN7" s="125"/>
      <c r="BO7" s="125"/>
      <c r="BP7" s="125"/>
      <c r="BQ7" s="125"/>
      <c r="BR7" s="125"/>
      <c r="BS7" s="126"/>
    </row>
    <row r="8" spans="1:71" x14ac:dyDescent="0.25">
      <c r="B8" s="86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8"/>
      <c r="AG8" s="88"/>
      <c r="AH8" s="88"/>
      <c r="AI8" s="88"/>
      <c r="AJ8" s="88"/>
      <c r="AK8" s="88"/>
      <c r="AL8" s="88"/>
      <c r="AM8" s="88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8" t="str">
        <f t="shared" si="0"/>
        <v/>
      </c>
      <c r="BE8" s="128"/>
      <c r="BF8" s="128"/>
      <c r="BG8" s="128"/>
      <c r="BH8" s="128"/>
      <c r="BI8" s="128"/>
      <c r="BJ8" s="128"/>
      <c r="BK8" s="128"/>
      <c r="BL8" s="128" t="str">
        <f t="shared" si="1"/>
        <v/>
      </c>
      <c r="BM8" s="128"/>
      <c r="BN8" s="128"/>
      <c r="BO8" s="128"/>
      <c r="BP8" s="128"/>
      <c r="BQ8" s="128"/>
      <c r="BR8" s="128"/>
      <c r="BS8" s="129"/>
    </row>
    <row r="9" spans="1:71" x14ac:dyDescent="0.25">
      <c r="B9" s="86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8"/>
      <c r="AG9" s="88"/>
      <c r="AH9" s="88"/>
      <c r="AI9" s="88"/>
      <c r="AJ9" s="88"/>
      <c r="AK9" s="88"/>
      <c r="AL9" s="88"/>
      <c r="AM9" s="88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8" t="str">
        <f t="shared" si="0"/>
        <v/>
      </c>
      <c r="BE9" s="128"/>
      <c r="BF9" s="128"/>
      <c r="BG9" s="128"/>
      <c r="BH9" s="128"/>
      <c r="BI9" s="128"/>
      <c r="BJ9" s="128"/>
      <c r="BK9" s="128"/>
      <c r="BL9" s="128" t="str">
        <f t="shared" si="1"/>
        <v/>
      </c>
      <c r="BM9" s="128"/>
      <c r="BN9" s="128"/>
      <c r="BO9" s="128"/>
      <c r="BP9" s="128"/>
      <c r="BQ9" s="128"/>
      <c r="BR9" s="128"/>
      <c r="BS9" s="129"/>
    </row>
    <row r="10" spans="1:71" x14ac:dyDescent="0.25">
      <c r="B10" s="86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8"/>
      <c r="AG10" s="88"/>
      <c r="AH10" s="88"/>
      <c r="AI10" s="88"/>
      <c r="AJ10" s="88"/>
      <c r="AK10" s="88"/>
      <c r="AL10" s="88"/>
      <c r="AM10" s="88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8" t="str">
        <f t="shared" si="0"/>
        <v/>
      </c>
      <c r="BE10" s="128"/>
      <c r="BF10" s="128"/>
      <c r="BG10" s="128"/>
      <c r="BH10" s="128"/>
      <c r="BI10" s="128"/>
      <c r="BJ10" s="128"/>
      <c r="BK10" s="128"/>
      <c r="BL10" s="128" t="str">
        <f t="shared" si="1"/>
        <v/>
      </c>
      <c r="BM10" s="128"/>
      <c r="BN10" s="128"/>
      <c r="BO10" s="128"/>
      <c r="BP10" s="128"/>
      <c r="BQ10" s="128"/>
      <c r="BR10" s="128"/>
      <c r="BS10" s="129"/>
    </row>
    <row r="11" spans="1:71" ht="15.75" thickBot="1" x14ac:dyDescent="0.3">
      <c r="B11" s="89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1"/>
      <c r="AG11" s="91"/>
      <c r="AH11" s="91"/>
      <c r="AI11" s="91"/>
      <c r="AJ11" s="91"/>
      <c r="AK11" s="91"/>
      <c r="AL11" s="91"/>
      <c r="AM11" s="91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1" t="str">
        <f t="shared" si="0"/>
        <v/>
      </c>
      <c r="BE11" s="131"/>
      <c r="BF11" s="131"/>
      <c r="BG11" s="131"/>
      <c r="BH11" s="131"/>
      <c r="BI11" s="131"/>
      <c r="BJ11" s="131"/>
      <c r="BK11" s="131"/>
      <c r="BL11" s="131" t="str">
        <f t="shared" si="1"/>
        <v/>
      </c>
      <c r="BM11" s="131"/>
      <c r="BN11" s="131"/>
      <c r="BO11" s="131"/>
      <c r="BP11" s="131"/>
      <c r="BQ11" s="131"/>
      <c r="BR11" s="131"/>
      <c r="BS11" s="132"/>
    </row>
    <row r="12" spans="1:71" ht="15.75" thickTop="1" x14ac:dyDescent="0.25"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34"/>
      <c r="AO12" s="34"/>
      <c r="AP12" s="34"/>
      <c r="AQ12" s="34"/>
      <c r="AR12" s="34"/>
      <c r="AS12" s="34"/>
      <c r="AT12" s="34"/>
      <c r="AU12" s="34"/>
      <c r="AV12" s="65"/>
      <c r="AW12" s="65"/>
      <c r="AX12" s="65"/>
      <c r="AY12" s="65"/>
      <c r="AZ12" s="65"/>
      <c r="BA12" s="65"/>
      <c r="BB12" s="65"/>
      <c r="BC12" s="65"/>
      <c r="BD12" s="105">
        <f>SUBTOTAL(9,BD7:BK11)</f>
        <v>0</v>
      </c>
      <c r="BE12" s="105"/>
      <c r="BF12" s="105"/>
      <c r="BG12" s="105"/>
      <c r="BH12" s="105"/>
      <c r="BI12" s="105"/>
      <c r="BJ12" s="105"/>
      <c r="BK12" s="105"/>
      <c r="BL12" s="105">
        <f>SUBTOTAL(9,BL7:BS11)</f>
        <v>0</v>
      </c>
      <c r="BM12" s="105"/>
      <c r="BN12" s="105"/>
      <c r="BO12" s="105"/>
      <c r="BP12" s="105"/>
      <c r="BQ12" s="105"/>
      <c r="BR12" s="105"/>
      <c r="BS12" s="105"/>
    </row>
    <row r="13" spans="1:71" x14ac:dyDescent="0.25"/>
    <row r="14" spans="1:71" ht="15.75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S14" s="123" t="s">
        <v>8</v>
      </c>
      <c r="T14" s="123"/>
      <c r="U14" s="123"/>
      <c r="V14" s="1"/>
      <c r="X14" s="66" t="s">
        <v>15</v>
      </c>
      <c r="Y14" s="66"/>
      <c r="Z14" s="66"/>
      <c r="AA14" s="66"/>
      <c r="AB14" s="66"/>
      <c r="AC14" s="66"/>
      <c r="AD14" s="66"/>
      <c r="AE14" s="121"/>
      <c r="AF14" s="66" t="s">
        <v>16</v>
      </c>
      <c r="AG14" s="66"/>
      <c r="AH14" s="66"/>
      <c r="AI14" s="66"/>
      <c r="AJ14" s="66"/>
      <c r="AK14" s="66"/>
      <c r="AL14" s="66"/>
      <c r="AM14" s="121"/>
      <c r="AN14" s="121"/>
      <c r="AO14" s="35"/>
      <c r="AP14" s="35"/>
      <c r="AQ14" s="67" t="str">
        <f>"Custo Planejado por "&amp;$S$15</f>
        <v xml:space="preserve">Custo Planejado por </v>
      </c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35"/>
      <c r="BE14" s="35"/>
      <c r="BF14" s="67" t="str">
        <f>"Custo Real por "&amp;$S$15</f>
        <v xml:space="preserve">Custo Real por </v>
      </c>
      <c r="BG14" s="67"/>
      <c r="BH14" s="67"/>
      <c r="BI14" s="67"/>
      <c r="BJ14" s="67"/>
      <c r="BK14" s="67"/>
      <c r="BL14" s="67"/>
      <c r="BM14" s="67"/>
      <c r="BN14" s="67"/>
      <c r="BS14" s="35"/>
    </row>
    <row r="15" spans="1:71" ht="15.75" thickBot="1" x14ac:dyDescent="0.3">
      <c r="B15" s="122" t="s">
        <v>17</v>
      </c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S15" s="133"/>
      <c r="T15" s="134"/>
      <c r="U15" s="135"/>
      <c r="V15" s="1"/>
      <c r="X15" s="80"/>
      <c r="Y15" s="81"/>
      <c r="Z15" s="81"/>
      <c r="AA15" s="81"/>
      <c r="AB15" s="81"/>
      <c r="AC15" s="81"/>
      <c r="AD15" s="82"/>
      <c r="AF15" s="80"/>
      <c r="AG15" s="81"/>
      <c r="AH15" s="81"/>
      <c r="AI15" s="81"/>
      <c r="AJ15" s="81"/>
      <c r="AK15" s="81"/>
      <c r="AL15" s="82"/>
      <c r="AN15" s="35"/>
      <c r="AO15" s="35"/>
      <c r="AP15" s="35"/>
      <c r="AQ15" s="71"/>
      <c r="AR15" s="71"/>
      <c r="AS15" s="72" t="str">
        <f>IF(X15=0,"",BD12/$X$15)</f>
        <v/>
      </c>
      <c r="AT15" s="73"/>
      <c r="AU15" s="73"/>
      <c r="AV15" s="73"/>
      <c r="AW15" s="73"/>
      <c r="AX15" s="73"/>
      <c r="AY15" s="73"/>
      <c r="AZ15" s="73"/>
      <c r="BA15" s="74"/>
      <c r="BB15" s="71"/>
      <c r="BC15" s="71"/>
      <c r="BD15" s="71"/>
      <c r="BE15" s="71"/>
      <c r="BF15" s="72" t="str">
        <f>IF(AF15=0,"",BL12/$AF$15)</f>
        <v/>
      </c>
      <c r="BG15" s="73"/>
      <c r="BH15" s="73"/>
      <c r="BI15" s="73"/>
      <c r="BJ15" s="73"/>
      <c r="BK15" s="73"/>
      <c r="BL15" s="73"/>
      <c r="BM15" s="73"/>
      <c r="BN15" s="74"/>
      <c r="BO15" s="75"/>
      <c r="BP15" s="75"/>
    </row>
    <row r="16" spans="1:71" s="68" customFormat="1" x14ac:dyDescent="0.25">
      <c r="X16" s="69"/>
      <c r="Y16" s="69"/>
      <c r="Z16" s="69"/>
      <c r="AA16" s="69"/>
      <c r="AB16" s="69"/>
      <c r="AC16" s="69"/>
      <c r="AD16" s="69"/>
      <c r="AF16" s="69"/>
      <c r="AG16" s="69"/>
      <c r="AH16" s="69"/>
      <c r="AI16" s="69"/>
      <c r="AJ16" s="69"/>
      <c r="AK16" s="69"/>
      <c r="AL16" s="69"/>
      <c r="AQ16" s="76"/>
      <c r="AR16" s="76"/>
      <c r="AS16" s="77"/>
      <c r="AT16" s="77"/>
      <c r="AU16" s="77"/>
      <c r="AV16" s="77"/>
      <c r="AW16" s="77"/>
      <c r="AX16" s="77"/>
      <c r="AY16" s="77"/>
      <c r="AZ16" s="77"/>
      <c r="BA16" s="77"/>
      <c r="BB16" s="76"/>
      <c r="BC16" s="76"/>
      <c r="BD16" s="76"/>
      <c r="BE16" s="76"/>
      <c r="BF16" s="77"/>
      <c r="BG16" s="77"/>
      <c r="BH16" s="77"/>
      <c r="BI16" s="77"/>
      <c r="BJ16" s="77"/>
      <c r="BK16" s="77"/>
      <c r="BL16" s="77"/>
      <c r="BM16" s="77"/>
      <c r="BN16" s="77"/>
      <c r="BO16" s="78"/>
      <c r="BP16" s="78"/>
      <c r="BQ16" s="70"/>
      <c r="BR16" s="70"/>
      <c r="BS16" s="70"/>
    </row>
    <row r="17" spans="1:72" s="107" customFormat="1" ht="20.25" x14ac:dyDescent="0.25">
      <c r="A17" s="107" t="s">
        <v>14</v>
      </c>
    </row>
    <row r="18" spans="1:72" s="101" customFormat="1" ht="15" customHeight="1" thickBot="1" x14ac:dyDescent="0.3"/>
    <row r="19" spans="1:72" s="101" customFormat="1" ht="15" customHeight="1" thickBot="1" x14ac:dyDescent="0.3">
      <c r="B19" s="102" t="s">
        <v>10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</row>
    <row r="20" spans="1:72" s="101" customFormat="1" ht="15" customHeight="1" thickBot="1" x14ac:dyDescent="0.3">
      <c r="B20" s="98">
        <v>2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100"/>
    </row>
    <row r="21" spans="1:72" ht="15.75" thickBot="1" x14ac:dyDescent="0.3">
      <c r="X21" s="66" t="s">
        <v>9</v>
      </c>
      <c r="Y21" s="66"/>
      <c r="Z21" s="66"/>
      <c r="AA21" s="66"/>
      <c r="AB21" s="66"/>
      <c r="AC21" s="66"/>
      <c r="AD21" s="66"/>
      <c r="AF21" s="66" t="s">
        <v>2</v>
      </c>
      <c r="AG21" s="66"/>
      <c r="AH21" s="66"/>
      <c r="AI21" s="66"/>
      <c r="AJ21" s="66"/>
      <c r="AK21" s="66"/>
      <c r="AL21" s="66"/>
      <c r="AN21" s="35"/>
      <c r="AO21" s="35"/>
      <c r="AP21" s="35"/>
      <c r="AQ21" s="79" t="s">
        <v>18</v>
      </c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 t="s">
        <v>19</v>
      </c>
      <c r="BE21" s="79"/>
      <c r="BF21" s="79"/>
      <c r="BG21" s="79"/>
      <c r="BH21" s="79"/>
      <c r="BI21" s="79"/>
      <c r="BJ21" s="79"/>
      <c r="BK21" s="79"/>
      <c r="BL21" s="79"/>
      <c r="BM21" s="79"/>
      <c r="BN21" s="79"/>
      <c r="BO21" s="79"/>
      <c r="BP21" s="79"/>
    </row>
    <row r="22" spans="1:72" ht="15.75" thickBot="1" x14ac:dyDescent="0.3">
      <c r="B22" s="35" t="s">
        <v>11</v>
      </c>
      <c r="X22" s="80"/>
      <c r="Y22" s="81"/>
      <c r="Z22" s="81"/>
      <c r="AA22" s="81"/>
      <c r="AB22" s="81"/>
      <c r="AC22" s="81"/>
      <c r="AD22" s="82"/>
      <c r="AF22" s="80"/>
      <c r="AG22" s="81"/>
      <c r="AH22" s="81"/>
      <c r="AI22" s="81"/>
      <c r="AJ22" s="81"/>
      <c r="AK22" s="81"/>
      <c r="AL22" s="82"/>
      <c r="AN22" s="35"/>
      <c r="AO22" s="35"/>
      <c r="AP22" s="35"/>
      <c r="AQ22" s="71"/>
      <c r="AR22" s="71"/>
      <c r="AS22" s="72" t="str">
        <f>IF(X22="","",X22*B20)</f>
        <v/>
      </c>
      <c r="AT22" s="73"/>
      <c r="AU22" s="73"/>
      <c r="AV22" s="73"/>
      <c r="AW22" s="73"/>
      <c r="AX22" s="73"/>
      <c r="AY22" s="73"/>
      <c r="AZ22" s="73"/>
      <c r="BA22" s="74"/>
      <c r="BB22" s="71"/>
      <c r="BC22" s="71"/>
      <c r="BD22" s="71"/>
      <c r="BE22" s="71"/>
      <c r="BF22" s="72" t="str">
        <f>IF($AF$22=0,"",AF22*B20)</f>
        <v/>
      </c>
      <c r="BG22" s="73"/>
      <c r="BH22" s="73"/>
      <c r="BI22" s="73"/>
      <c r="BJ22" s="73"/>
      <c r="BK22" s="73"/>
      <c r="BL22" s="73"/>
      <c r="BM22" s="73"/>
      <c r="BN22" s="74"/>
      <c r="BO22" s="75"/>
      <c r="BP22" s="75"/>
    </row>
    <row r="23" spans="1:72" s="1" customFormat="1" x14ac:dyDescent="0.25"/>
    <row r="24" spans="1:72" ht="15.75" thickBot="1" x14ac:dyDescent="0.3">
      <c r="A24" s="108"/>
      <c r="B24" s="115" t="s">
        <v>12</v>
      </c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09"/>
      <c r="S24" s="109"/>
      <c r="T24" s="109"/>
      <c r="U24" s="109"/>
      <c r="V24" s="109"/>
      <c r="W24" s="109"/>
      <c r="X24" s="110" t="s">
        <v>9</v>
      </c>
      <c r="Y24" s="110"/>
      <c r="Z24" s="110"/>
      <c r="AA24" s="110"/>
      <c r="AB24" s="110"/>
      <c r="AC24" s="110"/>
      <c r="AD24" s="110"/>
      <c r="AE24" s="109"/>
      <c r="AF24" s="110" t="s">
        <v>2</v>
      </c>
      <c r="AG24" s="110"/>
      <c r="AH24" s="110"/>
      <c r="AI24" s="110"/>
      <c r="AJ24" s="110"/>
      <c r="AK24" s="110"/>
      <c r="AL24" s="110"/>
      <c r="AM24" s="109"/>
      <c r="AN24" s="109"/>
      <c r="AO24" s="109"/>
      <c r="AP24" s="109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  <c r="BP24" s="111"/>
      <c r="BQ24" s="112"/>
      <c r="BR24" s="112"/>
      <c r="BS24" s="112"/>
      <c r="BT24" s="108"/>
    </row>
    <row r="25" spans="1:72" ht="15.75" thickBot="1" x14ac:dyDescent="0.3">
      <c r="A25" s="108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09"/>
      <c r="S25" s="109"/>
      <c r="T25" s="109"/>
      <c r="U25" s="109"/>
      <c r="V25" s="109"/>
      <c r="W25" s="109"/>
      <c r="X25" s="116">
        <f>(B20*X22)-BD12</f>
        <v>0</v>
      </c>
      <c r="Y25" s="117"/>
      <c r="Z25" s="117"/>
      <c r="AA25" s="117"/>
      <c r="AB25" s="117"/>
      <c r="AC25" s="117"/>
      <c r="AD25" s="118"/>
      <c r="AE25" s="109"/>
      <c r="AF25" s="116">
        <f>(B20*AF22)-BL12</f>
        <v>0</v>
      </c>
      <c r="AG25" s="117"/>
      <c r="AH25" s="117"/>
      <c r="AI25" s="117"/>
      <c r="AJ25" s="117"/>
      <c r="AK25" s="117"/>
      <c r="AL25" s="118"/>
      <c r="AM25" s="109"/>
      <c r="AN25" s="109"/>
      <c r="AO25" s="109"/>
      <c r="AP25" s="109"/>
      <c r="AQ25" s="113"/>
      <c r="AR25" s="113"/>
      <c r="AS25" s="119" t="e">
        <f>(AS22-BD12)/X22</f>
        <v>#VALUE!</v>
      </c>
      <c r="AT25" s="120"/>
      <c r="AU25" s="120"/>
      <c r="AV25" s="120"/>
      <c r="AW25" s="120"/>
      <c r="AX25" s="120"/>
      <c r="AY25" s="120"/>
      <c r="AZ25" s="137" t="e">
        <f>AS25/B20</f>
        <v>#VALUE!</v>
      </c>
      <c r="BA25" s="138"/>
      <c r="BB25" s="113"/>
      <c r="BC25" s="113"/>
      <c r="BD25" s="113"/>
      <c r="BE25" s="113"/>
      <c r="BF25" s="119" t="e">
        <f>(BF22-BL12)/AF22</f>
        <v>#VALUE!</v>
      </c>
      <c r="BG25" s="120"/>
      <c r="BH25" s="120"/>
      <c r="BI25" s="120"/>
      <c r="BJ25" s="120"/>
      <c r="BK25" s="120"/>
      <c r="BL25" s="120"/>
      <c r="BM25" s="137" t="e">
        <f>BF25/B20</f>
        <v>#VALUE!</v>
      </c>
      <c r="BN25" s="138"/>
      <c r="BO25" s="114"/>
      <c r="BP25" s="114"/>
      <c r="BQ25" s="112"/>
      <c r="BR25" s="112"/>
      <c r="BS25" s="112"/>
      <c r="BT25" s="108"/>
    </row>
    <row r="26" spans="1:72" x14ac:dyDescent="0.25">
      <c r="A26" s="108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36"/>
      <c r="AO26" s="136"/>
      <c r="AP26" s="136"/>
      <c r="AQ26" s="136"/>
      <c r="AR26" s="136"/>
      <c r="AS26" s="136"/>
      <c r="AT26" s="136"/>
      <c r="AU26" s="136"/>
      <c r="AV26" s="136"/>
      <c r="AW26" s="136"/>
      <c r="AX26" s="136"/>
      <c r="AY26" s="136"/>
      <c r="AZ26" s="136"/>
      <c r="BA26" s="136"/>
      <c r="BB26" s="136"/>
      <c r="BC26" s="136"/>
      <c r="BD26" s="112"/>
      <c r="BE26" s="112"/>
      <c r="BF26" s="112"/>
      <c r="BG26" s="112"/>
      <c r="BH26" s="112"/>
      <c r="BI26" s="112"/>
      <c r="BJ26" s="112"/>
      <c r="BK26" s="112"/>
      <c r="BL26" s="112"/>
      <c r="BM26" s="112"/>
      <c r="BN26" s="112"/>
      <c r="BO26" s="112"/>
      <c r="BP26" s="112"/>
      <c r="BQ26" s="112"/>
      <c r="BR26" s="112"/>
      <c r="BS26" s="112"/>
      <c r="BT26" s="108"/>
    </row>
  </sheetData>
  <sheetProtection sheet="1" formatCells="0" formatColumns="0" formatRows="0" insertColumns="0" insertRows="0" insertHyperlinks="0" deleteColumns="0" deleteRows="0" sort="0" autoFilter="0" pivotTables="0"/>
  <autoFilter ref="B6:BS6" xr:uid="{ADAFC673-6F93-4364-804B-C90C4FED0716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</autoFilter>
  <mergeCells count="76">
    <mergeCell ref="BM25:BN25"/>
    <mergeCell ref="A1:XFD1"/>
    <mergeCell ref="A17:XFD17"/>
    <mergeCell ref="AF15:AL15"/>
    <mergeCell ref="AF14:AL14"/>
    <mergeCell ref="B15:Q15"/>
    <mergeCell ref="X24:AD24"/>
    <mergeCell ref="AF24:AL24"/>
    <mergeCell ref="AQ24:BC24"/>
    <mergeCell ref="BD24:BP24"/>
    <mergeCell ref="X25:AD25"/>
    <mergeCell ref="AF25:AL25"/>
    <mergeCell ref="AS25:AY25"/>
    <mergeCell ref="AZ25:BA25"/>
    <mergeCell ref="B3:BS4"/>
    <mergeCell ref="S14:U14"/>
    <mergeCell ref="S15:U15"/>
    <mergeCell ref="B9:AE9"/>
    <mergeCell ref="B10:AE10"/>
    <mergeCell ref="B11:AE11"/>
    <mergeCell ref="AF7:AM7"/>
    <mergeCell ref="AF8:AM8"/>
    <mergeCell ref="AF9:AM9"/>
    <mergeCell ref="AF10:AM10"/>
    <mergeCell ref="AF11:AM11"/>
    <mergeCell ref="B19:Q19"/>
    <mergeCell ref="B20:Q20"/>
    <mergeCell ref="B7:AE7"/>
    <mergeCell ref="B8:AE8"/>
    <mergeCell ref="X22:AD22"/>
    <mergeCell ref="AF22:AL22"/>
    <mergeCell ref="AS22:BA22"/>
    <mergeCell ref="BF22:BN22"/>
    <mergeCell ref="AQ21:BC21"/>
    <mergeCell ref="BD21:BP21"/>
    <mergeCell ref="BF25:BL25"/>
    <mergeCell ref="X21:AD21"/>
    <mergeCell ref="AF21:AL21"/>
    <mergeCell ref="B24:Q26"/>
    <mergeCell ref="BF14:BN14"/>
    <mergeCell ref="BF15:BN15"/>
    <mergeCell ref="BD12:BK12"/>
    <mergeCell ref="BL12:BS12"/>
    <mergeCell ref="AN12:AU12"/>
    <mergeCell ref="AQ14:BC14"/>
    <mergeCell ref="X15:AD15"/>
    <mergeCell ref="X14:AD14"/>
    <mergeCell ref="AS15:BA15"/>
    <mergeCell ref="BD10:BK10"/>
    <mergeCell ref="BD11:BK11"/>
    <mergeCell ref="BL7:BS7"/>
    <mergeCell ref="BL8:BS8"/>
    <mergeCell ref="BL9:BS9"/>
    <mergeCell ref="BL10:BS10"/>
    <mergeCell ref="BL11:BS11"/>
    <mergeCell ref="AN10:AU10"/>
    <mergeCell ref="AN11:AU11"/>
    <mergeCell ref="AV7:BC7"/>
    <mergeCell ref="AV8:BC8"/>
    <mergeCell ref="AV9:BC9"/>
    <mergeCell ref="AV10:BC10"/>
    <mergeCell ref="AV11:BC11"/>
    <mergeCell ref="BL6:BS6"/>
    <mergeCell ref="AN7:AU7"/>
    <mergeCell ref="AN8:AU8"/>
    <mergeCell ref="AN9:AU9"/>
    <mergeCell ref="BD7:BK7"/>
    <mergeCell ref="BD8:BK8"/>
    <mergeCell ref="BD9:BK9"/>
    <mergeCell ref="AN5:BC5"/>
    <mergeCell ref="BD5:BS5"/>
    <mergeCell ref="B5:AE6"/>
    <mergeCell ref="AF5:AM6"/>
    <mergeCell ref="AN6:AU6"/>
    <mergeCell ref="AV6:BC6"/>
    <mergeCell ref="BD6:BK6"/>
  </mergeCells>
  <dataValidations xWindow="41" yWindow="600" count="1">
    <dataValidation type="decimal" errorStyle="warning" operator="greaterThan" allowBlank="1" showInputMessage="1" showErrorMessage="1" errorTitle="Erro 114!" error="Os dados informados neste campo não corresponde a um Número. Isso quer dizer que mesmo que você clique em &quot;OK&quot; as fórmulas não funcionrão corretamente. Verifique" sqref="BL7:BL11 AF7:AF11 BD7:BD11 AV7:AV11 AN7:AN11" xr:uid="{1B69D9D4-F610-4DD0-8B30-F227CD223441}">
      <formula1>-5000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Custos</vt:lpstr>
      <vt:lpstr>COMIDA 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Prentys Assis</dc:creator>
  <cp:lastModifiedBy>Prentys Assis</cp:lastModifiedBy>
  <dcterms:created xsi:type="dcterms:W3CDTF">2024-04-16T16:53:51Z</dcterms:created>
  <dcterms:modified xsi:type="dcterms:W3CDTF">2024-04-16T18:33:03Z</dcterms:modified>
</cp:coreProperties>
</file>